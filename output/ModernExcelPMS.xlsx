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fig" sheetId="1" r:id="rId1"/>
    <sheet name="Template" sheetId="2" r:id="rId2"/>
    <sheet name="PRJ_001" sheetId="3" r:id="rId3"/>
    <sheet name="PRJ_002" sheetId="4" r:id="rId4"/>
    <sheet name="Case_Master" sheetId="5" r:id="rId5"/>
    <sheet name="Measure_Master" sheetId="6" r:id="rId6"/>
    <sheet name="Kanban_View" sheetId="7" r:id="rId7"/>
  </sheets>
  <definedNames>
    <definedName name="CaseIds">Case_Master!$A$2:$A$100</definedName>
    <definedName name="MeasureList">Measure_Master!$A$2:$H$104</definedName>
    <definedName name="CaseDrilldownArea">Case_Master!$G$3:$N$104</definedName>
  </definedNames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0%"/>
  </numFmts>
  <fonts count="6">
    <font>
      <sz val="11"/>
      <color theme="1"/>
      <name val="Meiryo UI"/>
      <family val="2"/>
    </font>
    <font>
      <b/>
      <sz val="11"/>
      <color rgb="FFFFFFFF"/>
      <name val="Meiryo UI"/>
      <family val="2"/>
    </font>
    <font>
      <b/>
      <sz val="14"/>
      <color theme="1"/>
      <name val="Meiryo UI"/>
      <family val="2"/>
    </font>
    <font>
      <b/>
      <sz val="11"/>
      <color theme="1"/>
      <name val="Meiryo UI"/>
      <family val="2"/>
    </font>
    <font>
      <sz val="9"/>
      <color theme="1"/>
      <name val="Meiryo UI"/>
      <family val="2"/>
    </font>
    <font>
      <i/>
      <sz val="10"/>
      <color rgb="FF666666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5E8F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2C3E5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Protection="1">
      <protection locked="0"/>
    </xf>
    <xf numFmtId="0" fontId="2" fillId="0" borderId="0" xfId="0" applyFont="1"/>
    <xf numFmtId="0" fontId="0" fillId="4" borderId="1" xfId="0" applyFill="1" applyBorder="1"/>
    <xf numFmtId="0" fontId="3" fillId="5" borderId="1" xfId="0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/>
    </xf>
    <xf numFmtId="0" fontId="5" fillId="0" borderId="0" xfId="0" applyFont="1"/>
    <xf numFmtId="165" fontId="0" fillId="3" borderId="1" xfId="0" applyNumberFormat="1" applyFill="1" applyBorder="1" applyProtection="1">
      <protection locked="0"/>
    </xf>
    <xf numFmtId="164" fontId="0" fillId="3" borderId="1" xfId="0" applyNumberFormat="1" applyFill="1" applyBorder="1" applyProtection="1">
      <protection locked="0"/>
    </xf>
  </cellXfs>
  <cellStyles count="1">
    <cellStyle name="標準" xfId="0" builtinId="0"/>
  </cellStyles>
  <dxfs count="11">
    <dxf>
      <border>
        <right style="medium">
          <color rgb="FFE74C3C"/>
        </right>
      </border>
    </dxf>
    <dxf>
      <fill>
        <patternFill patternType="solid">
          <fgColor rgb="FF95A5A6"/>
          <bgColor indexed="64"/>
        </patternFill>
      </fill>
    </dxf>
    <dxf>
      <fill>
        <patternFill patternType="solid">
          <fgColor rgb="FFE74C3C"/>
          <bgColor indexed="64"/>
        </patternFill>
      </fill>
    </dxf>
    <dxf>
      <fill>
        <patternFill patternType="solid">
          <fgColor rgb="FF3498DB"/>
          <bgColor indexed="64"/>
        </patternFill>
      </fill>
    </dxf>
    <dxf>
      <fill>
        <patternFill patternType="solid">
          <fgColor rgb="FFECF0F1"/>
          <bgColor indexed="64"/>
        </patternFill>
      </fill>
    </dxf>
    <dxf>
      <font>
        <color rgb="FFFFFFFF"/>
      </font>
      <fill>
        <patternFill patternType="solid">
          <fgColor rgb="FF3498DB"/>
          <bgColor indexed="64"/>
        </patternFill>
      </fill>
    </dxf>
    <dxf>
      <font>
        <color rgb="FFFFFFFF"/>
      </font>
      <fill>
        <patternFill patternType="solid">
          <fgColor rgb="FFE74C3C"/>
          <bgColor indexed="64"/>
        </patternFill>
      </fill>
    </dxf>
    <dxf>
      <font>
        <color rgb="FFFFFFFF"/>
      </font>
      <fill>
        <patternFill patternType="solid">
          <fgColor rgb="FF27AE60"/>
          <bgColor indexed="64"/>
        </patternFill>
      </fill>
    </dxf>
    <dxf>
      <font>
        <b/>
        <color rgb="FFFFFFFF"/>
      </font>
      <fill>
        <patternFill patternType="solid">
          <fgColor rgb="FF34495E"/>
          <bgColor indexed="64"/>
        </patternFill>
      </fill>
    </dxf>
    <dxf>
      <fill>
        <patternFill patternType="solid">
          <fgColor rgb="FFF39C12"/>
          <bgColor indexed="64"/>
        </patternFill>
      </fill>
    </dxf>
    <dxf>
      <fill>
        <patternFill patternType="solid">
          <fgColor rgb="FFF1C40F"/>
          <bgColor indexed="64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3" topLeftCell="A4" activePane="bottomRight" state="frozen"/>
      <selection activeCell="A1" sqref="A1"/>
    </sheetView>
  </sheetViews>
  <cols>
    <col min="1" max="1" width="12" customWidth="1"/>
    <col min="2" max="2" width="15" customWidth="1"/>
    <col min="3" max="3" width="3" customWidth="1"/>
    <col min="4" max="4" width="15" customWidth="1"/>
    <col min="5" max="5" width="3" customWidth="1"/>
    <col min="6" max="6" width="12" customWidth="1"/>
  </cols>
  <sheetData>
    <row r="1">
      <c r="A1" s="4" t="inlineStr">
        <is>
          <t>⚙️ 設定シート</t>
        </is>
      </c>
    </row>
    <row r="2">
      <c r="A2" s="8" t="inlineStr">
        <is>
          <t>💡 薄青のセルにデータを追加・編集できます。WBS シートで使用されます。</t>
        </is>
      </c>
    </row>
    <row r="3">
      <c r="A3" s="6" t="inlineStr">
        <is>
          <t>祝日リスト</t>
        </is>
      </c>
      <c r="B3" s="2" t="inlineStr">
        <is>
          <t>日付</t>
        </is>
      </c>
      <c r="C3" s="6" t="inlineStr">
        <is>
          <t>担当者リスト</t>
        </is>
      </c>
      <c r="D3" s="2" t="inlineStr">
        <is>
          <t>担当者</t>
        </is>
      </c>
      <c r="E3" s="6" t="inlineStr">
        <is>
          <t>ステータスリスト</t>
        </is>
      </c>
      <c r="F3" s="2" t="inlineStr">
        <is>
          <t>ステータス</t>
        </is>
      </c>
    </row>
    <row r="4">
      <c r="B4" s="3" t="inlineStr">
        <is>
          <t>2024-01-01</t>
        </is>
      </c>
      <c r="D4" s="3" t="inlineStr">
        <is>
          <t>AL_OpDX</t>
        </is>
      </c>
      <c r="F4" s="3" t="inlineStr">
        <is>
          <t>未着手</t>
        </is>
      </c>
    </row>
    <row r="5">
      <c r="B5" s="3" t="inlineStr">
        <is>
          <t>2024-02-12</t>
        </is>
      </c>
      <c r="D5" s="3" t="inlineStr">
        <is>
          <t>AL_戦略</t>
        </is>
      </c>
      <c r="F5" s="3" t="inlineStr">
        <is>
          <t>進行中</t>
        </is>
      </c>
    </row>
    <row r="6">
      <c r="B6" s="3" t="inlineStr">
        <is>
          <t>2024-04-29</t>
        </is>
      </c>
      <c r="D6" s="3" t="inlineStr">
        <is>
          <t>AL_開発</t>
        </is>
      </c>
      <c r="F6" s="3" t="inlineStr">
        <is>
          <t>遅延</t>
        </is>
      </c>
    </row>
    <row r="7">
      <c r="B7" s="3" t="inlineStr">
        <is>
          <t>2024-05-03</t>
        </is>
      </c>
      <c r="D7" s="3" t="inlineStr">
        <is>
          <t>Elyza_CS</t>
        </is>
      </c>
      <c r="F7" s="3" t="inlineStr">
        <is>
          <t>完了</t>
        </is>
      </c>
    </row>
    <row r="8">
      <c r="B8" s="3" t="inlineStr">
        <is>
          <t>2024-05-04</t>
        </is>
      </c>
      <c r="D8" s="3" t="inlineStr">
        <is>
          <t>KDDI</t>
        </is>
      </c>
    </row>
    <row r="9">
      <c r="B9" s="3" t="inlineStr">
        <is>
          <t>2024-05-05</t>
        </is>
      </c>
    </row>
  </sheetData>
  <sheetProtection sheet="1" objects="1" formatCells="0" sort="0" autoFilter="0" password="80FB" insertRows="0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xSplit="2" ySplit="4" topLeftCell="C5" activePane="bottomRight" state="frozen"/>
      <selection activeCell="A1" sqref="A1"/>
    </sheetView>
  </sheetViews>
  <cols>
    <col min="1" max="1" width="4" customWidth="1"/>
    <col min="2" max="2" width="28" customWidth="1"/>
    <col min="3" max="3" width="10" customWidth="1"/>
    <col min="4" max="4" width="11" customWidth="1"/>
    <col min="5" max="5" width="6" customWidth="1"/>
    <col min="6" max="6" width="11" customWidth="1"/>
    <col min="7" max="7" width="6" customWidth="1"/>
    <col min="8" max="8" width="9" customWidth="1"/>
    <col min="9" max="9" width="15" customWidth="1"/>
    <col min="10" max="10" width="8" customWidth="1"/>
    <col min="11" max="70" width="2.5" customWidth="1"/>
  </cols>
  <sheetData>
    <row r="1">
      <c r="A1" s="6" t="inlineStr">
        <is>
          <t>プロジェクト名</t>
        </is>
      </c>
      <c r="B1" s="3"/>
      <c r="J1" s="6" t="inlineStr">
        <is>
          <t>全体進捗</t>
        </is>
      </c>
      <c r="K1" s="6" t="inlineStr">
        <is>
          <t>ガント開始日</t>
        </is>
      </c>
    </row>
    <row r="2">
      <c r="A2" s="8" t="inlineStr">
        <is>
          <t>💡 薄青のセルに入力できます。ステータスは自動計算されます。</t>
        </is>
      </c>
      <c r="J2" s="5">
        <f>LET(_eff,E5:E104,_prg,G5:G104,_total,SUM(_eff),IF(_total=0,0,SUMPRODUCT(_eff,_prg)/_total))</f>
      </c>
      <c r="K2" s="10">
        <f>TODAY()</f>
      </c>
    </row>
    <row r="3">
      <c r="K3" s="7">
        <f>IF($K$2="","",SEQUENCE(1,60,$K$2,1))</f>
      </c>
    </row>
    <row r="4">
      <c r="A4" s="2" t="inlineStr">
        <is>
          <t>Lv</t>
        </is>
      </c>
      <c r="B4" s="2" t="inlineStr">
        <is>
          <t>タスク名</t>
        </is>
      </c>
      <c r="C4" s="2" t="inlineStr">
        <is>
          <t>担当</t>
        </is>
      </c>
      <c r="D4" s="2" t="inlineStr">
        <is>
          <t>開始日</t>
        </is>
      </c>
      <c r="E4" s="2" t="inlineStr">
        <is>
          <t>工数(日)</t>
        </is>
      </c>
      <c r="F4" s="2" t="inlineStr">
        <is>
          <t>終了日</t>
        </is>
      </c>
      <c r="G4" s="2" t="inlineStr">
        <is>
          <t>進捗率</t>
        </is>
      </c>
      <c r="H4" s="2" t="inlineStr">
        <is>
          <t>ステータス</t>
        </is>
      </c>
      <c r="I4" s="2" t="inlineStr">
        <is>
          <t>備考</t>
        </is>
      </c>
    </row>
    <row r="5">
      <c r="A5" s="3"/>
      <c r="B5" s="3"/>
      <c r="C5" s="3"/>
      <c r="D5" s="10"/>
      <c r="E5" s="3"/>
      <c r="F5" s="5">
        <f>IF(OR(D5="",E5="")," ",WORKDAY(D5,E5-1,Config!$B$4:$B$20))</f>
      </c>
      <c r="G5" s="9"/>
      <c r="H5" s="5">
        <f>IFS(G5=1,"完了",AND(F5&lt;TODAY(),G5&lt;1),"遅延",AND(D5&lt;=TODAY(),G5&lt;1),"進行中",TRUE,"未着手")</f>
      </c>
      <c r="I5" s="3"/>
    </row>
    <row r="6">
      <c r="A6" s="3"/>
      <c r="B6" s="3"/>
      <c r="C6" s="3"/>
      <c r="D6" s="10"/>
      <c r="E6" s="3"/>
      <c r="F6" s="5">
        <f>IF(OR(D6="",E6="")," ",WORKDAY(D6,E6-1,Config!$B$4:$B$20))</f>
      </c>
      <c r="G6" s="9"/>
      <c r="H6" s="5">
        <f>IFS(G6=1,"完了",AND(F6&lt;TODAY(),G6&lt;1),"遅延",AND(D6&lt;=TODAY(),G6&lt;1),"進行中",TRUE,"未着手")</f>
      </c>
      <c r="I6" s="3"/>
    </row>
    <row r="7">
      <c r="A7" s="3"/>
      <c r="B7" s="3"/>
      <c r="C7" s="3"/>
      <c r="D7" s="10"/>
      <c r="E7" s="3"/>
      <c r="F7" s="5">
        <f>IF(OR(D7="",E7="")," ",WORKDAY(D7,E7-1,Config!$B$4:$B$20))</f>
      </c>
      <c r="G7" s="9"/>
      <c r="H7" s="5">
        <f>IFS(G7=1,"完了",AND(F7&lt;TODAY(),G7&lt;1),"遅延",AND(D7&lt;=TODAY(),G7&lt;1),"進行中",TRUE,"未着手")</f>
      </c>
      <c r="I7" s="3"/>
    </row>
    <row r="8">
      <c r="A8" s="3"/>
      <c r="B8" s="3"/>
      <c r="C8" s="3"/>
      <c r="D8" s="10"/>
      <c r="E8" s="3"/>
      <c r="F8" s="5">
        <f>IF(OR(D8="",E8="")," ",WORKDAY(D8,E8-1,Config!$B$4:$B$20))</f>
      </c>
      <c r="G8" s="9"/>
      <c r="H8" s="5">
        <f>IFS(G8=1,"完了",AND(F8&lt;TODAY(),G8&lt;1),"遅延",AND(D8&lt;=TODAY(),G8&lt;1),"進行中",TRUE,"未着手")</f>
      </c>
      <c r="I8" s="3"/>
    </row>
    <row r="9">
      <c r="A9" s="3"/>
      <c r="B9" s="3"/>
      <c r="C9" s="3"/>
      <c r="D9" s="10"/>
      <c r="E9" s="3"/>
      <c r="F9" s="5">
        <f>IF(OR(D9="",E9="")," ",WORKDAY(D9,E9-1,Config!$B$4:$B$20))</f>
      </c>
      <c r="G9" s="9"/>
      <c r="H9" s="5">
        <f>IFS(G9=1,"完了",AND(F9&lt;TODAY(),G9&lt;1),"遅延",AND(D9&lt;=TODAY(),G9&lt;1),"進行中",TRUE,"未着手")</f>
      </c>
      <c r="I9" s="3"/>
    </row>
    <row r="10">
      <c r="A10" s="3"/>
      <c r="B10" s="3"/>
      <c r="C10" s="3"/>
      <c r="D10" s="10"/>
      <c r="E10" s="3"/>
      <c r="F10" s="5">
        <f>IF(OR(D10="",E10="")," ",WORKDAY(D10,E10-1,Config!$B$4:$B$20))</f>
      </c>
      <c r="G10" s="9"/>
      <c r="H10" s="5">
        <f>IFS(G10=1,"完了",AND(F10&lt;TODAY(),G10&lt;1),"遅延",AND(D10&lt;=TODAY(),G10&lt;1),"進行中",TRUE,"未着手")</f>
      </c>
      <c r="I10" s="3"/>
    </row>
    <row r="11">
      <c r="A11" s="3"/>
      <c r="B11" s="3"/>
      <c r="C11" s="3"/>
      <c r="D11" s="10"/>
      <c r="E11" s="3"/>
      <c r="F11" s="5">
        <f>IF(OR(D11="",E11="")," ",WORKDAY(D11,E11-1,Config!$B$4:$B$20))</f>
      </c>
      <c r="G11" s="9"/>
      <c r="H11" s="5">
        <f>IFS(G11=1,"完了",AND(F11&lt;TODAY(),G11&lt;1),"遅延",AND(D11&lt;=TODAY(),G11&lt;1),"進行中",TRUE,"未着手")</f>
      </c>
      <c r="I11" s="3"/>
    </row>
    <row r="12">
      <c r="A12" s="3"/>
      <c r="B12" s="3"/>
      <c r="C12" s="3"/>
      <c r="D12" s="10"/>
      <c r="E12" s="3"/>
      <c r="F12" s="5">
        <f>IF(OR(D12="",E12="")," ",WORKDAY(D12,E12-1,Config!$B$4:$B$20))</f>
      </c>
      <c r="G12" s="9"/>
      <c r="H12" s="5">
        <f>IFS(G12=1,"完了",AND(F12&lt;TODAY(),G12&lt;1),"遅延",AND(D12&lt;=TODAY(),G12&lt;1),"進行中",TRUE,"未着手")</f>
      </c>
      <c r="I12" s="3"/>
    </row>
    <row r="13">
      <c r="A13" s="3"/>
      <c r="B13" s="3"/>
      <c r="C13" s="3"/>
      <c r="D13" s="10"/>
      <c r="E13" s="3"/>
      <c r="F13" s="5">
        <f>IF(OR(D13="",E13="")," ",WORKDAY(D13,E13-1,Config!$B$4:$B$20))</f>
      </c>
      <c r="G13" s="9"/>
      <c r="H13" s="5">
        <f>IFS(G13=1,"完了",AND(F13&lt;TODAY(),G13&lt;1),"遅延",AND(D13&lt;=TODAY(),G13&lt;1),"進行中",TRUE,"未着手")</f>
      </c>
      <c r="I13" s="3"/>
    </row>
    <row r="14">
      <c r="A14" s="3"/>
      <c r="B14" s="3"/>
      <c r="C14" s="3"/>
      <c r="D14" s="10"/>
      <c r="E14" s="3"/>
      <c r="F14" s="5">
        <f>IF(OR(D14="",E14="")," ",WORKDAY(D14,E14-1,Config!$B$4:$B$20))</f>
      </c>
      <c r="G14" s="9"/>
      <c r="H14" s="5">
        <f>IFS(G14=1,"完了",AND(F14&lt;TODAY(),G14&lt;1),"遅延",AND(D14&lt;=TODAY(),G14&lt;1),"進行中",TRUE,"未着手")</f>
      </c>
      <c r="I14" s="3"/>
    </row>
    <row r="15">
      <c r="A15" s="3"/>
      <c r="B15" s="3"/>
      <c r="C15" s="3"/>
      <c r="D15" s="10"/>
      <c r="E15" s="3"/>
      <c r="F15" s="5">
        <f>IF(OR(D15="",E15="")," ",WORKDAY(D15,E15-1,Config!$B$4:$B$20))</f>
      </c>
      <c r="G15" s="9"/>
      <c r="H15" s="5">
        <f>IFS(G15=1,"完了",AND(F15&lt;TODAY(),G15&lt;1),"遅延",AND(D15&lt;=TODAY(),G15&lt;1),"進行中",TRUE,"未着手")</f>
      </c>
      <c r="I15" s="3"/>
    </row>
    <row r="16">
      <c r="A16" s="3"/>
      <c r="B16" s="3"/>
      <c r="C16" s="3"/>
      <c r="D16" s="10"/>
      <c r="E16" s="3"/>
      <c r="F16" s="5">
        <f>IF(OR(D16="",E16="")," ",WORKDAY(D16,E16-1,Config!$B$4:$B$20))</f>
      </c>
      <c r="G16" s="9"/>
      <c r="H16" s="5">
        <f>IFS(G16=1,"完了",AND(F16&lt;TODAY(),G16&lt;1),"遅延",AND(D16&lt;=TODAY(),G16&lt;1),"進行中",TRUE,"未着手")</f>
      </c>
      <c r="I16" s="3"/>
    </row>
    <row r="17">
      <c r="A17" s="3"/>
      <c r="B17" s="3"/>
      <c r="C17" s="3"/>
      <c r="D17" s="10"/>
      <c r="E17" s="3"/>
      <c r="F17" s="5">
        <f>IF(OR(D17="",E17="")," ",WORKDAY(D17,E17-1,Config!$B$4:$B$20))</f>
      </c>
      <c r="G17" s="9"/>
      <c r="H17" s="5">
        <f>IFS(G17=1,"完了",AND(F17&lt;TODAY(),G17&lt;1),"遅延",AND(D17&lt;=TODAY(),G17&lt;1),"進行中",TRUE,"未着手")</f>
      </c>
      <c r="I17" s="3"/>
    </row>
    <row r="18">
      <c r="A18" s="3"/>
      <c r="B18" s="3"/>
      <c r="C18" s="3"/>
      <c r="D18" s="10"/>
      <c r="E18" s="3"/>
      <c r="F18" s="5">
        <f>IF(OR(D18="",E18="")," ",WORKDAY(D18,E18-1,Config!$B$4:$B$20))</f>
      </c>
      <c r="G18" s="9"/>
      <c r="H18" s="5">
        <f>IFS(G18=1,"完了",AND(F18&lt;TODAY(),G18&lt;1),"遅延",AND(D18&lt;=TODAY(),G18&lt;1),"進行中",TRUE,"未着手")</f>
      </c>
      <c r="I18" s="3"/>
    </row>
  </sheetData>
  <sheetProtection sheet="1" objects="1" formatCells="0" sort="0" autoFilter="0" password="80FB" insertRows="0"/>
  <conditionalFormatting sqref="K5:BC30">
    <cfRule type="expression" dxfId="0" priority="1">
      <formula>K$3=TODAY()</formula>
    </cfRule>
    <cfRule type="expression" dxfId="1" priority="2">
      <formula>AND($D5&lt;&gt;"",$E5&lt;&gt;"",K$3&gt;=$D5,K$3&lt;=$F5,$H5="完了")</formula>
    </cfRule>
    <cfRule type="expression" dxfId="2" priority="3">
      <formula>AND($D5&lt;&gt;"",$E5&lt;&gt;"",K$3&gt;=$D5,K$3&lt;=$F5,$H5="遅延")</formula>
    </cfRule>
    <cfRule type="expression" dxfId="3" priority="4">
      <formula>AND($D5&lt;&gt;"",$E5&lt;&gt;"",K$3&gt;=$D5,K$3&lt;=$F5,$H5&lt;&gt;"",$H5&lt;&gt;"完了",$H5&lt;&gt;"遅延")</formula>
    </cfRule>
  </conditionalFormatting>
  <conditionalFormatting sqref="H5:H30">
    <cfRule type="expression" dxfId="4" priority="5">
      <formula>$H5="未着手"</formula>
    </cfRule>
    <cfRule type="expression" dxfId="5" priority="6">
      <formula>$H5="進行中"</formula>
    </cfRule>
    <cfRule type="expression" dxfId="6" priority="7">
      <formula>$H5="遅延"</formula>
    </cfRule>
    <cfRule type="expression" dxfId="7" priority="8">
      <formula>$H5="完了"</formula>
    </cfRule>
  </conditionalFormatting>
  <conditionalFormatting sqref="A5:I30">
    <cfRule type="expression" dxfId="8" priority="9">
      <formula>$A5=1</formula>
    </cfRule>
  </conditionalFormatting>
  <dataValidations count="5">
    <dataValidation type="list" allowBlank="1" showDropDown="1" showInputMessage="1" showErrorMessage="1" promptTitle="担当者" prompt="Configシートで定義された担当者から選択してください" errorTitle="入力エラー" error="リストから選択してください" sqref="C5:C104">
      <formula1>Config!$D$4:$D$20</formula1>
    </dataValidation>
    <dataValidation type="date" allowBlank="1" showInputMessage="1" showErrorMessage="1" promptTitle="開始日" prompt="タスクの開始日を入力（例: 2024/05/01）" errorTitle="入力エラー" error="有効な日付を入力してください（例: 2024/05/01）" sqref="D5:D104">
      <formula1>1</formula1>
      <formula2>109574</formula2>
    </dataValidation>
    <dataValidation type="whole" operator="between" allowBlank="1" showInputMessage="1" showErrorMessage="1" promptTitle="工数（日）" prompt="1〜100の整数を入力してください" errorTitle="入力エラー" error="工数は1〜100の整数で入力してください" sqref="E5:E104">
      <formula1>1</formula1>
      <formula2>100</formula2>
    </dataValidation>
    <dataValidation type="decimal" operator="between" allowBlank="1" showInputMessage="1" showErrorMessage="1" promptTitle="進捗率" prompt="0〜1の値を入力（0.5 = 50%）" errorTitle="入力エラー" error="進捗率は0〜1の範囲で入力してください（例: 0.5 = 50%）" sqref="G5:G104">
      <formula1>0</formula1>
      <formula2>1</formula2>
    </dataValidation>
    <dataValidation type="list" allowBlank="1" showDropDown="1" sqref="H5:H104">
      <formula1>Config!$F$4:$F$20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xSplit="2" ySplit="4" topLeftCell="C5" activePane="bottomRight" state="frozen"/>
      <selection activeCell="A1" sqref="A1"/>
    </sheetView>
  </sheetViews>
  <cols>
    <col min="1" max="1" width="4" customWidth="1"/>
    <col min="2" max="2" width="28" customWidth="1"/>
    <col min="3" max="3" width="10" customWidth="1"/>
    <col min="4" max="4" width="11" customWidth="1"/>
    <col min="5" max="5" width="6" customWidth="1"/>
    <col min="6" max="6" width="11" customWidth="1"/>
    <col min="7" max="7" width="6" customWidth="1"/>
    <col min="8" max="8" width="9" customWidth="1"/>
    <col min="9" max="9" width="15" customWidth="1"/>
    <col min="10" max="10" width="8" customWidth="1"/>
    <col min="11" max="70" width="2.5" customWidth="1"/>
  </cols>
  <sheetData>
    <row r="1">
      <c r="A1" s="6" t="inlineStr">
        <is>
          <t>プロジェクト名</t>
        </is>
      </c>
      <c r="B1" s="3"/>
      <c r="J1" s="6" t="inlineStr">
        <is>
          <t>全体進捗</t>
        </is>
      </c>
      <c r="K1" s="6" t="inlineStr">
        <is>
          <t>ガント開始日</t>
        </is>
      </c>
    </row>
    <row r="2">
      <c r="A2" s="8" t="inlineStr">
        <is>
          <t>💡 薄青のセルに入力できます。ステータスは自動計算されます。</t>
        </is>
      </c>
      <c r="J2" s="5">
        <f>LET(_eff,E5:E104,_prg,G5:G104,_total,SUM(_eff),IF(_total=0,0,SUMPRODUCT(_eff,_prg)/_total))</f>
      </c>
      <c r="K2" s="10">
        <v>45635</v>
      </c>
    </row>
    <row r="3">
      <c r="K3" s="7">
        <f>IF($K$2="","",SEQUENCE(1,60,$K$2,1))</f>
      </c>
    </row>
    <row r="4">
      <c r="A4" s="2" t="inlineStr">
        <is>
          <t>Lv</t>
        </is>
      </c>
      <c r="B4" s="2" t="inlineStr">
        <is>
          <t>タスク名</t>
        </is>
      </c>
      <c r="C4" s="2" t="inlineStr">
        <is>
          <t>担当</t>
        </is>
      </c>
      <c r="D4" s="2" t="inlineStr">
        <is>
          <t>開始日</t>
        </is>
      </c>
      <c r="E4" s="2" t="inlineStr">
        <is>
          <t>工数(日)</t>
        </is>
      </c>
      <c r="F4" s="2" t="inlineStr">
        <is>
          <t>終了日</t>
        </is>
      </c>
      <c r="G4" s="2" t="inlineStr">
        <is>
          <t>進捗率</t>
        </is>
      </c>
      <c r="H4" s="2" t="inlineStr">
        <is>
          <t>ステータス</t>
        </is>
      </c>
      <c r="I4" s="2" t="inlineStr">
        <is>
          <t>備考</t>
        </is>
      </c>
    </row>
    <row r="5">
      <c r="A5" s="3">
        <v>1</v>
      </c>
      <c r="B5" s="3" t="inlineStr">
        <is>
          <t>Phase0 基盤再構築</t>
        </is>
      </c>
      <c r="C5" s="3" t="inlineStr">
        <is>
          <t>AL_OpDX</t>
        </is>
      </c>
      <c r="D5" s="10">
        <v>46006</v>
      </c>
      <c r="E5" s="3">
        <v>10</v>
      </c>
      <c r="F5" s="5">
        <f>IF(OR(D5="",E5="")," ",WORKDAY(D5,E5-1,Config!$B$4:$B$20))</f>
      </c>
      <c r="G5" s="9">
        <v>0.0</v>
      </c>
      <c r="H5" s="5">
        <f>IFS(G5=1,"完了",AND(F5&lt;TODAY(),G5&lt;1),"遅延",AND(D5&lt;=TODAY(),G5&lt;1),"進行中",TRUE,"未着手")</f>
      </c>
    </row>
    <row r="6">
      <c r="A6" s="3">
        <v>2</v>
      </c>
      <c r="B6" s="3" t="inlineStr">
        <is>
          <t>  └ ★モデルデスク選定・合意</t>
        </is>
      </c>
      <c r="C6" s="3" t="inlineStr">
        <is>
          <t>AL_OpDX</t>
        </is>
      </c>
      <c r="D6" s="10">
        <v>46006</v>
      </c>
      <c r="E6" s="3">
        <v>4</v>
      </c>
      <c r="F6" s="5">
        <f>IF(OR(D6="",E6="")," ",WORKDAY(D6,E6-1,Config!$B$4:$B$20))</f>
      </c>
      <c r="G6" s="9">
        <v>0.0</v>
      </c>
      <c r="H6" s="5">
        <f>IFS(G6=1,"完了",AND(F6&lt;TODAY(),G6&lt;1),"遅延",AND(D6&lt;=TODAY(),G6&lt;1),"進行中",TRUE,"未着手")</f>
      </c>
    </row>
    <row r="7">
      <c r="A7" s="3">
        <v>2</v>
      </c>
      <c r="B7" s="3" t="inlineStr">
        <is>
          <t>  └ アプリ要件定義</t>
        </is>
      </c>
      <c r="C7" s="3" t="inlineStr">
        <is>
          <t>AL_OpDX</t>
        </is>
      </c>
      <c r="D7" s="10">
        <v>46011</v>
      </c>
      <c r="E7" s="3">
        <v>5</v>
      </c>
      <c r="F7" s="5">
        <f>IF(OR(D7="",E7="")," ",WORKDAY(D7,E7-1,Config!$B$4:$B$20))</f>
      </c>
      <c r="G7" s="9">
        <v>0.0</v>
      </c>
      <c r="H7" s="5">
        <f>IFS(G7=1,"完了",AND(F7&lt;TODAY(),G7&lt;1),"遅延",AND(D7&lt;=TODAY(),G7&lt;1),"進行中",TRUE,"未着手")</f>
      </c>
    </row>
    <row r="8">
      <c r="A8" s="3">
        <v>2</v>
      </c>
      <c r="B8" s="3" t="inlineStr">
        <is>
          <t>  └ 全社説明会コンテンツ作成</t>
        </is>
      </c>
      <c r="C8" s="3" t="inlineStr">
        <is>
          <t>AL_戦略</t>
        </is>
      </c>
      <c r="D8" s="10">
        <v>46006</v>
      </c>
      <c r="E8" s="3">
        <v>8</v>
      </c>
      <c r="F8" s="5">
        <f>IF(OR(D8="",E8="")," ",WORKDAY(D8,E8-1,Config!$B$4:$B$20))</f>
      </c>
      <c r="G8" s="9">
        <v>0.0</v>
      </c>
      <c r="H8" s="5">
        <f>IFS(G8=1,"完了",AND(F8&lt;TODAY(),G8&lt;1),"遅延",AND(D8&lt;=TODAY(),G8&lt;1),"進行中",TRUE,"未着手")</f>
      </c>
    </row>
    <row r="9">
      <c r="A9" s="3">
        <v>2</v>
      </c>
      <c r="B9" s="3" t="inlineStr">
        <is>
          <t>  └ Note PMコミュニティ構築</t>
        </is>
      </c>
      <c r="C9" s="3" t="inlineStr">
        <is>
          <t>AL_OpDX</t>
        </is>
      </c>
      <c r="D9" s="10">
        <v>46006</v>
      </c>
      <c r="E9" s="3">
        <v>9</v>
      </c>
      <c r="F9" s="5">
        <f>IF(OR(D9="",E9="")," ",WORKDAY(D9,E9-1,Config!$B$4:$B$20))</f>
      </c>
      <c r="G9" s="9">
        <v>0.0</v>
      </c>
      <c r="H9" s="5">
        <f>IFS(G9=1,"完了",AND(F9&lt;TODAY(),G9&lt;1),"遅延",AND(D9&lt;=TODAY(),G9&lt;1),"進行中",TRUE,"未着手")</f>
      </c>
    </row>
    <row r="10">
      <c r="A10" s="3">
        <v>2</v>
      </c>
      <c r="B10" s="3" t="inlineStr">
        <is>
          <t>  └ 運用フロー確立(自動化)</t>
        </is>
      </c>
      <c r="C10" s="3" t="inlineStr">
        <is>
          <t>AL_開発</t>
        </is>
      </c>
      <c r="D10" s="10">
        <v>46006</v>
      </c>
      <c r="E10" s="3">
        <v>9</v>
      </c>
      <c r="F10" s="5">
        <f>IF(OR(D10="",E10="")," ",WORKDAY(D10,E10-1,Config!$B$4:$B$20))</f>
      </c>
      <c r="G10" s="9">
        <v>0.0</v>
      </c>
      <c r="H10" s="5">
        <f>IFS(G10=1,"完了",AND(F10&lt;TODAY(),G10&lt;1),"遅延",AND(D10&lt;=TODAY(),G10&lt;1),"進行中",TRUE,"未着手")</f>
      </c>
    </row>
    <row r="11">
      <c r="A11" s="3">
        <v>1</v>
      </c>
      <c r="B11" s="3" t="inlineStr">
        <is>
          <t>Phase1 集中導入</t>
        </is>
      </c>
      <c r="C11" s="3" t="inlineStr">
        <is>
          <t>AL_OpDX</t>
        </is>
      </c>
      <c r="D11" s="10">
        <v>46028</v>
      </c>
      <c r="E11" s="3">
        <v>15</v>
      </c>
      <c r="F11" s="5">
        <f>IF(OR(D11="",E11="")," ",WORKDAY(D11,E11-1,Config!$B$4:$B$20))</f>
      </c>
      <c r="G11" s="9">
        <v>0.0</v>
      </c>
      <c r="H11" s="5">
        <f>IFS(G11=1,"完了",AND(F11&lt;TODAY(),G11&lt;1),"遅延",AND(D11&lt;=TODAY(),G11&lt;1),"進行中",TRUE,"未着手")</f>
      </c>
    </row>
    <row r="12">
      <c r="A12" s="3">
        <v>2</v>
      </c>
      <c r="B12" s="3" t="inlineStr">
        <is>
          <t>  └ ★専用アプリ開発(Elyza)</t>
        </is>
      </c>
      <c r="C12" s="3" t="inlineStr">
        <is>
          <t>Elyza_CS</t>
        </is>
      </c>
      <c r="D12" s="10">
        <v>46016</v>
      </c>
      <c r="E12" s="3">
        <v>12</v>
      </c>
      <c r="F12" s="5">
        <f>IF(OR(D12="",E12="")," ",WORKDAY(D12,E12-1,Config!$B$4:$B$20))</f>
      </c>
      <c r="G12" s="9">
        <v>0.0</v>
      </c>
      <c r="H12" s="5">
        <f>IFS(G12=1,"完了",AND(F12&lt;TODAY(),G12&lt;1),"遅延",AND(D12&lt;=TODAY(),G12&lt;1),"進行中",TRUE,"未着手")</f>
      </c>
    </row>
    <row r="13">
      <c r="A13" s="3">
        <v>2</v>
      </c>
      <c r="B13" s="3" t="inlineStr">
        <is>
          <t>  └ ◆全社説明会・ID一斉発行</t>
        </is>
      </c>
      <c r="C13" s="3" t="inlineStr">
        <is>
          <t>AL_OpDX</t>
        </is>
      </c>
      <c r="D13" s="10">
        <v>46032</v>
      </c>
      <c r="E13" s="3">
        <v>1</v>
      </c>
      <c r="F13" s="5">
        <f>IF(OR(D13="",E13="")," ",WORKDAY(D13,E13-1,Config!$B$4:$B$20))</f>
      </c>
      <c r="G13" s="9">
        <v>0.0</v>
      </c>
      <c r="H13" s="5">
        <f>IFS(G13=1,"完了",AND(F13&lt;TODAY(),G13&lt;1),"遅延",AND(D13&lt;=TODAY(),G13&lt;1),"進行中",TRUE,"未着手")</f>
      </c>
    </row>
    <row r="14">
      <c r="A14" s="3">
        <v>2</v>
      </c>
      <c r="B14" s="3" t="inlineStr">
        <is>
          <t>  └ ★モデルデスク導入・オンボ</t>
        </is>
      </c>
      <c r="C14" s="3" t="inlineStr">
        <is>
          <t>AL_OpDX</t>
        </is>
      </c>
      <c r="D14" s="10">
        <v>46032</v>
      </c>
      <c r="E14" s="3">
        <v>5</v>
      </c>
      <c r="F14" s="5">
        <f>IF(OR(D14="",E14="")," ",WORKDAY(D14,E14-1,Config!$B$4:$B$20))</f>
      </c>
      <c r="G14" s="9">
        <v>0.0</v>
      </c>
      <c r="H14" s="5">
        <f>IFS(G14=1,"完了",AND(F14&lt;TODAY(),G14&lt;1),"遅延",AND(D14&lt;=TODAY(),G14&lt;1),"進行中",TRUE,"未着手")</f>
      </c>
    </row>
    <row r="15">
      <c r="A15" s="3">
        <v>2</v>
      </c>
      <c r="B15" s="3" t="inlineStr">
        <is>
          <t>  └ ログ収集・分析開始</t>
        </is>
      </c>
      <c r="C15" s="3" t="inlineStr">
        <is>
          <t>AL_開発</t>
        </is>
      </c>
      <c r="D15" s="10">
        <v>46032</v>
      </c>
      <c r="E15" s="3">
        <v>10</v>
      </c>
      <c r="F15" s="5">
        <f>IF(OR(D15="",E15="")," ",WORKDAY(D15,E15-1,Config!$B$4:$B$20))</f>
      </c>
      <c r="G15" s="9">
        <v>0.0</v>
      </c>
      <c r="H15" s="5">
        <f>IFS(G15=1,"完了",AND(F15&lt;TODAY(),G15&lt;1),"遅延",AND(D15&lt;=TODAY(),G15&lt;1),"進行中",TRUE,"未着手")</f>
      </c>
    </row>
    <row r="16">
      <c r="A16" s="3">
        <v>2</v>
      </c>
      <c r="B16" s="3" t="inlineStr">
        <is>
          <t>  └ 成功事例(Small Win)抽出</t>
        </is>
      </c>
      <c r="C16" s="3" t="inlineStr">
        <is>
          <t>AL_OpDX</t>
        </is>
      </c>
      <c r="D16" s="10">
        <v>46037</v>
      </c>
      <c r="E16" s="3">
        <v>10</v>
      </c>
      <c r="F16" s="5">
        <f>IF(OR(D16="",E16="")," ",WORKDAY(D16,E16-1,Config!$B$4:$B$20))</f>
      </c>
      <c r="G16" s="9">
        <v>0.0</v>
      </c>
      <c r="H16" s="5">
        <f>IFS(G16=1,"完了",AND(F16&lt;TODAY(),G16&lt;1),"遅延",AND(D16&lt;=TODAY(),G16&lt;1),"進行中",TRUE,"未着手")</f>
      </c>
    </row>
    <row r="17">
      <c r="A17" s="3">
        <v>1</v>
      </c>
      <c r="B17" s="3" t="inlineStr">
        <is>
          <t>Phase2 横展開・測定</t>
        </is>
      </c>
      <c r="C17" s="3" t="inlineStr">
        <is>
          <t>AL_戦略</t>
        </is>
      </c>
      <c r="D17" s="10">
        <v>46054</v>
      </c>
      <c r="E17" s="3">
        <v>20</v>
      </c>
      <c r="F17" s="5">
        <f>IF(OR(D17="",E17="")," ",WORKDAY(D17,E17-1,Config!$B$4:$B$20))</f>
      </c>
      <c r="G17" s="9">
        <v>0.0</v>
      </c>
      <c r="H17" s="5">
        <f>IFS(G17=1,"完了",AND(F17&lt;TODAY(),G17&lt;1),"遅延",AND(D17&lt;=TODAY(),G17&lt;1),"進行中",TRUE,"未着手")</f>
      </c>
    </row>
    <row r="18">
      <c r="A18" s="3">
        <v>2</v>
      </c>
      <c r="B18" s="3" t="inlineStr">
        <is>
          <t>  └ ★効果速報値算出</t>
        </is>
      </c>
      <c r="C18" s="3" t="inlineStr">
        <is>
          <t>AL_戦略</t>
        </is>
      </c>
      <c r="D18" s="10">
        <v>46042</v>
      </c>
      <c r="E18" s="3">
        <v>20</v>
      </c>
      <c r="F18" s="5">
        <f>IF(OR(D18="",E18="")," ",WORKDAY(D18,E18-1,Config!$B$4:$B$20))</f>
      </c>
      <c r="G18" s="9">
        <v>0.0</v>
      </c>
      <c r="H18" s="5">
        <f>IFS(G18=1,"完了",AND(F18&lt;TODAY(),G18&lt;1),"遅延",AND(D18&lt;=TODAY(),G18&lt;1),"進行中",TRUE,"未着手")</f>
      </c>
    </row>
    <row r="19">
      <c r="A19" s="3">
        <v>2</v>
      </c>
      <c r="B19" s="3" t="inlineStr">
        <is>
          <t>  └ 横展開アプローチ(ID拡大)</t>
        </is>
      </c>
      <c r="C19" s="3" t="inlineStr">
        <is>
          <t>AL_OpDX</t>
        </is>
      </c>
      <c r="D19" s="10">
        <v>46063</v>
      </c>
      <c r="E19" s="3">
        <v>10</v>
      </c>
      <c r="F19" s="5">
        <f>IF(OR(D19="",E19="")," ",WORKDAY(D19,E19-1,Config!$B$4:$B$20))</f>
      </c>
      <c r="G19" s="9">
        <v>0.0</v>
      </c>
      <c r="H19" s="5">
        <f>IFS(G19=1,"完了",AND(F19&lt;TODAY(),G19&lt;1),"遅延",AND(D19&lt;=TODAY(),G19&lt;1),"進行中",TRUE,"未着手")</f>
      </c>
    </row>
    <row r="20">
      <c r="A20" s="3">
        <v>2</v>
      </c>
      <c r="B20" s="3" t="inlineStr">
        <is>
          <t>  └ 全ユーザーアンケート</t>
        </is>
      </c>
      <c r="C20" s="3" t="inlineStr">
        <is>
          <t>AL_戦略</t>
        </is>
      </c>
      <c r="D20" s="10">
        <v>46054</v>
      </c>
      <c r="E20" s="3">
        <v>10</v>
      </c>
      <c r="F20" s="5">
        <f>IF(OR(D20="",E20="")," ",WORKDAY(D20,E20-1,Config!$B$4:$B$20))</f>
      </c>
      <c r="G20" s="9">
        <v>0.0</v>
      </c>
      <c r="H20" s="5">
        <f>IFS(G20=1,"完了",AND(F20&lt;TODAY(),G20&lt;1),"遅延",AND(D20&lt;=TODAY(),G20&lt;1),"進行中",TRUE,"未着手")</f>
      </c>
    </row>
    <row r="21">
      <c r="A21" s="3">
        <v>2</v>
      </c>
      <c r="B21" s="3" t="inlineStr">
        <is>
          <t>  └ 中間レポート作成</t>
        </is>
      </c>
      <c r="C21" s="3" t="inlineStr">
        <is>
          <t>AL_戦略</t>
        </is>
      </c>
      <c r="D21" s="10">
        <v>46063</v>
      </c>
      <c r="E21" s="3">
        <v>8</v>
      </c>
      <c r="F21" s="5">
        <f>IF(OR(D21="",E21="")," ",WORKDAY(D21,E21-1,Config!$B$4:$B$20))</f>
      </c>
      <c r="G21" s="9">
        <v>0.0</v>
      </c>
      <c r="H21" s="5">
        <f>IFS(G21=1,"完了",AND(F21&lt;TODAY(),G21&lt;1),"遅延",AND(D21&lt;=TODAY(),G21&lt;1),"進行中",TRUE,"未着手")</f>
      </c>
    </row>
    <row r="22">
      <c r="A22" s="3">
        <v>2</v>
      </c>
      <c r="B22" s="3" t="inlineStr">
        <is>
          <t>  └ ◆中間報告会</t>
        </is>
      </c>
      <c r="C22" s="3" t="inlineStr">
        <is>
          <t>AL_OpDX</t>
        </is>
      </c>
      <c r="D22" s="10">
        <v>46078</v>
      </c>
      <c r="E22" s="3">
        <v>1</v>
      </c>
      <c r="F22" s="5">
        <f>IF(OR(D22="",E22="")," ",WORKDAY(D22,E22-1,Config!$B$4:$B$20))</f>
      </c>
      <c r="G22" s="9">
        <v>0.0</v>
      </c>
      <c r="H22" s="5">
        <f>IFS(G22=1,"完了",AND(F22&lt;TODAY(),G22&lt;1),"遅延",AND(D22&lt;=TODAY(),G22&lt;1),"進行中",TRUE,"未着手")</f>
      </c>
    </row>
    <row r="23">
      <c r="A23" s="3"/>
      <c r="B23" s="3"/>
      <c r="C23" s="3"/>
      <c r="D23" s="10"/>
      <c r="E23" s="3"/>
      <c r="F23" s="5">
        <f>IF(OR(D23="",E23="")," ",WORKDAY(D23,E23-1,Config!$B$4:$B$20))</f>
      </c>
      <c r="G23" s="9"/>
      <c r="H23" s="5">
        <f>IFS(G23=1,"完了",AND(F23&lt;TODAY(),G23&lt;1),"遅延",AND(D23&lt;=TODAY(),G23&lt;1),"進行中",TRUE,"未着手")</f>
      </c>
      <c r="I23" s="3"/>
    </row>
    <row r="24">
      <c r="A24" s="3"/>
      <c r="B24" s="3"/>
      <c r="C24" s="3"/>
      <c r="D24" s="10"/>
      <c r="E24" s="3"/>
      <c r="F24" s="5">
        <f>IF(OR(D24="",E24="")," ",WORKDAY(D24,E24-1,Config!$B$4:$B$20))</f>
      </c>
      <c r="G24" s="9"/>
      <c r="H24" s="5">
        <f>IFS(G24=1,"完了",AND(F24&lt;TODAY(),G24&lt;1),"遅延",AND(D24&lt;=TODAY(),G24&lt;1),"進行中",TRUE,"未着手")</f>
      </c>
      <c r="I24" s="3"/>
    </row>
  </sheetData>
  <sheetProtection sheet="1" objects="1" formatCells="0" sort="0" autoFilter="0" password="80FB" insertRows="0"/>
  <conditionalFormatting sqref="K5:BC30">
    <cfRule type="expression" dxfId="0" priority="1">
      <formula>K$3=TODAY()</formula>
    </cfRule>
    <cfRule type="expression" dxfId="1" priority="2">
      <formula>AND($D5&lt;&gt;"",$E5&lt;&gt;"",K$3&gt;=$D5,K$3&lt;=$F5,$H5="完了")</formula>
    </cfRule>
    <cfRule type="expression" dxfId="2" priority="3">
      <formula>AND($D5&lt;&gt;"",$E5&lt;&gt;"",K$3&gt;=$D5,K$3&lt;=$F5,$H5="遅延")</formula>
    </cfRule>
    <cfRule type="expression" dxfId="3" priority="4">
      <formula>AND($D5&lt;&gt;"",$E5&lt;&gt;"",K$3&gt;=$D5,K$3&lt;=$F5,$H5&lt;&gt;"",$H5&lt;&gt;"完了",$H5&lt;&gt;"遅延")</formula>
    </cfRule>
  </conditionalFormatting>
  <conditionalFormatting sqref="H5:H30">
    <cfRule type="expression" dxfId="4" priority="5">
      <formula>$H5="未着手"</formula>
    </cfRule>
    <cfRule type="expression" dxfId="5" priority="6">
      <formula>$H5="進行中"</formula>
    </cfRule>
    <cfRule type="expression" dxfId="6" priority="7">
      <formula>$H5="遅延"</formula>
    </cfRule>
    <cfRule type="expression" dxfId="7" priority="8">
      <formula>$H5="完了"</formula>
    </cfRule>
  </conditionalFormatting>
  <conditionalFormatting sqref="A5:I30">
    <cfRule type="expression" dxfId="8" priority="9">
      <formula>$A5=1</formula>
    </cfRule>
  </conditionalFormatting>
  <dataValidations count="5">
    <dataValidation type="list" allowBlank="1" showDropDown="1" showInputMessage="1" showErrorMessage="1" promptTitle="担当者" prompt="Configシートで定義された担当者から選択してください" errorTitle="入力エラー" error="リストから選択してください" sqref="C5:C104">
      <formula1>Config!$D$4:$D$20</formula1>
    </dataValidation>
    <dataValidation type="date" allowBlank="1" showInputMessage="1" showErrorMessage="1" promptTitle="開始日" prompt="タスクの開始日を入力（例: 2024/05/01）" errorTitle="入力エラー" error="有効な日付を入力してください（例: 2024/05/01）" sqref="D5:D104">
      <formula1>1</formula1>
      <formula2>109574</formula2>
    </dataValidation>
    <dataValidation type="whole" operator="between" allowBlank="1" showInputMessage="1" showErrorMessage="1" promptTitle="工数（日）" prompt="1〜100の整数を入力してください" errorTitle="入力エラー" error="工数は1〜100の整数で入力してください" sqref="E5:E104">
      <formula1>1</formula1>
      <formula2>100</formula2>
    </dataValidation>
    <dataValidation type="decimal" operator="between" allowBlank="1" showInputMessage="1" showErrorMessage="1" promptTitle="進捗率" prompt="0〜1の値を入力（0.5 = 50%）" errorTitle="入力エラー" error="進捗率は0〜1の範囲で入力してください（例: 0.5 = 50%）" sqref="G5:G104">
      <formula1>0</formula1>
      <formula2>1</formula2>
    </dataValidation>
    <dataValidation type="list" allowBlank="1" showDropDown="1" sqref="H5:H104">
      <formula1>Config!$F$4:$F$20</formula1>
    </dataValidation>
  </dataValidation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xSplit="2" ySplit="4" topLeftCell="C5" activePane="bottomRight" state="frozen"/>
      <selection activeCell="A1" sqref="A1"/>
    </sheetView>
  </sheetViews>
  <cols>
    <col min="1" max="1" width="4" customWidth="1"/>
    <col min="2" max="2" width="28" customWidth="1"/>
    <col min="3" max="3" width="10" customWidth="1"/>
    <col min="4" max="4" width="11" customWidth="1"/>
    <col min="5" max="5" width="6" customWidth="1"/>
    <col min="6" max="6" width="11" customWidth="1"/>
    <col min="7" max="7" width="6" customWidth="1"/>
    <col min="8" max="8" width="9" customWidth="1"/>
    <col min="9" max="9" width="15" customWidth="1"/>
    <col min="10" max="10" width="8" customWidth="1"/>
    <col min="11" max="70" width="2.5" customWidth="1"/>
  </cols>
  <sheetData>
    <row r="1">
      <c r="A1" s="6" t="inlineStr">
        <is>
          <t>プロジェクト名</t>
        </is>
      </c>
      <c r="B1" s="3"/>
      <c r="J1" s="6" t="inlineStr">
        <is>
          <t>全体進捗</t>
        </is>
      </c>
      <c r="K1" s="6" t="inlineStr">
        <is>
          <t>ガント開始日</t>
        </is>
      </c>
    </row>
    <row r="2">
      <c r="A2" s="8" t="inlineStr">
        <is>
          <t>💡 薄青のセルに入力できます。ステータスは自動計算されます。</t>
        </is>
      </c>
      <c r="J2" s="5">
        <f>LET(_eff,E5:E104,_prg,G5:G104,_total,SUM(_eff),IF(_total=0,0,SUMPRODUCT(_eff,_prg)/_total))</f>
      </c>
      <c r="K2" s="10">
        <f>TODAY()</f>
      </c>
    </row>
    <row r="3">
      <c r="K3" s="7">
        <f>IF($K$2="","",SEQUENCE(1,60,$K$2,1))</f>
      </c>
    </row>
    <row r="4">
      <c r="A4" s="2" t="inlineStr">
        <is>
          <t>Lv</t>
        </is>
      </c>
      <c r="B4" s="2" t="inlineStr">
        <is>
          <t>タスク名</t>
        </is>
      </c>
      <c r="C4" s="2" t="inlineStr">
        <is>
          <t>担当</t>
        </is>
      </c>
      <c r="D4" s="2" t="inlineStr">
        <is>
          <t>開始日</t>
        </is>
      </c>
      <c r="E4" s="2" t="inlineStr">
        <is>
          <t>工数(日)</t>
        </is>
      </c>
      <c r="F4" s="2" t="inlineStr">
        <is>
          <t>終了日</t>
        </is>
      </c>
      <c r="G4" s="2" t="inlineStr">
        <is>
          <t>進捗率</t>
        </is>
      </c>
      <c r="H4" s="2" t="inlineStr">
        <is>
          <t>ステータス</t>
        </is>
      </c>
      <c r="I4" s="2" t="inlineStr">
        <is>
          <t>備考</t>
        </is>
      </c>
    </row>
    <row r="5">
      <c r="A5" s="3"/>
      <c r="B5" s="3"/>
      <c r="C5" s="3"/>
      <c r="D5" s="10"/>
      <c r="E5" s="3"/>
      <c r="F5" s="5">
        <f>IF(OR(D5="",E5="")," ",WORKDAY(D5,E5-1,Config!$B$4:$B$20))</f>
      </c>
      <c r="G5" s="9"/>
      <c r="H5" s="5">
        <f>IFS(G5=1,"完了",AND(F5&lt;TODAY(),G5&lt;1),"遅延",AND(D5&lt;=TODAY(),G5&lt;1),"進行中",TRUE,"未着手")</f>
      </c>
      <c r="I5" s="3"/>
    </row>
    <row r="6">
      <c r="A6" s="3"/>
      <c r="B6" s="3"/>
      <c r="C6" s="3"/>
      <c r="D6" s="10"/>
      <c r="E6" s="3"/>
      <c r="F6" s="5">
        <f>IF(OR(D6="",E6="")," ",WORKDAY(D6,E6-1,Config!$B$4:$B$20))</f>
      </c>
      <c r="G6" s="9"/>
      <c r="H6" s="5">
        <f>IFS(G6=1,"完了",AND(F6&lt;TODAY(),G6&lt;1),"遅延",AND(D6&lt;=TODAY(),G6&lt;1),"進行中",TRUE,"未着手")</f>
      </c>
      <c r="I6" s="3"/>
    </row>
    <row r="7">
      <c r="A7" s="3"/>
      <c r="B7" s="3"/>
      <c r="C7" s="3"/>
      <c r="D7" s="10"/>
      <c r="E7" s="3"/>
      <c r="F7" s="5">
        <f>IF(OR(D7="",E7="")," ",WORKDAY(D7,E7-1,Config!$B$4:$B$20))</f>
      </c>
      <c r="G7" s="9"/>
      <c r="H7" s="5">
        <f>IFS(G7=1,"完了",AND(F7&lt;TODAY(),G7&lt;1),"遅延",AND(D7&lt;=TODAY(),G7&lt;1),"進行中",TRUE,"未着手")</f>
      </c>
      <c r="I7" s="3"/>
    </row>
    <row r="8">
      <c r="A8" s="3"/>
      <c r="B8" s="3"/>
      <c r="C8" s="3"/>
      <c r="D8" s="10"/>
      <c r="E8" s="3"/>
      <c r="F8" s="5">
        <f>IF(OR(D8="",E8="")," ",WORKDAY(D8,E8-1,Config!$B$4:$B$20))</f>
      </c>
      <c r="G8" s="9"/>
      <c r="H8" s="5">
        <f>IFS(G8=1,"完了",AND(F8&lt;TODAY(),G8&lt;1),"遅延",AND(D8&lt;=TODAY(),G8&lt;1),"進行中",TRUE,"未着手")</f>
      </c>
      <c r="I8" s="3"/>
    </row>
    <row r="9">
      <c r="A9" s="3"/>
      <c r="B9" s="3"/>
      <c r="C9" s="3"/>
      <c r="D9" s="10"/>
      <c r="E9" s="3"/>
      <c r="F9" s="5">
        <f>IF(OR(D9="",E9="")," ",WORKDAY(D9,E9-1,Config!$B$4:$B$20))</f>
      </c>
      <c r="G9" s="9"/>
      <c r="H9" s="5">
        <f>IFS(G9=1,"完了",AND(F9&lt;TODAY(),G9&lt;1),"遅延",AND(D9&lt;=TODAY(),G9&lt;1),"進行中",TRUE,"未着手")</f>
      </c>
      <c r="I9" s="3"/>
    </row>
    <row r="10">
      <c r="A10" s="3"/>
      <c r="B10" s="3"/>
      <c r="C10" s="3"/>
      <c r="D10" s="10"/>
      <c r="E10" s="3"/>
      <c r="F10" s="5">
        <f>IF(OR(D10="",E10="")," ",WORKDAY(D10,E10-1,Config!$B$4:$B$20))</f>
      </c>
      <c r="G10" s="9"/>
      <c r="H10" s="5">
        <f>IFS(G10=1,"完了",AND(F10&lt;TODAY(),G10&lt;1),"遅延",AND(D10&lt;=TODAY(),G10&lt;1),"進行中",TRUE,"未着手")</f>
      </c>
      <c r="I10" s="3"/>
    </row>
    <row r="11">
      <c r="A11" s="3"/>
      <c r="B11" s="3"/>
      <c r="C11" s="3"/>
      <c r="D11" s="10"/>
      <c r="E11" s="3"/>
      <c r="F11" s="5">
        <f>IF(OR(D11="",E11="")," ",WORKDAY(D11,E11-1,Config!$B$4:$B$20))</f>
      </c>
      <c r="G11" s="9"/>
      <c r="H11" s="5">
        <f>IFS(G11=1,"完了",AND(F11&lt;TODAY(),G11&lt;1),"遅延",AND(D11&lt;=TODAY(),G11&lt;1),"進行中",TRUE,"未着手")</f>
      </c>
      <c r="I11" s="3"/>
    </row>
    <row r="12">
      <c r="A12" s="3"/>
      <c r="B12" s="3"/>
      <c r="C12" s="3"/>
      <c r="D12" s="10"/>
      <c r="E12" s="3"/>
      <c r="F12" s="5">
        <f>IF(OR(D12="",E12="")," ",WORKDAY(D12,E12-1,Config!$B$4:$B$20))</f>
      </c>
      <c r="G12" s="9"/>
      <c r="H12" s="5">
        <f>IFS(G12=1,"完了",AND(F12&lt;TODAY(),G12&lt;1),"遅延",AND(D12&lt;=TODAY(),G12&lt;1),"進行中",TRUE,"未着手")</f>
      </c>
      <c r="I12" s="3"/>
    </row>
    <row r="13">
      <c r="A13" s="3"/>
      <c r="B13" s="3"/>
      <c r="C13" s="3"/>
      <c r="D13" s="10"/>
      <c r="E13" s="3"/>
      <c r="F13" s="5">
        <f>IF(OR(D13="",E13="")," ",WORKDAY(D13,E13-1,Config!$B$4:$B$20))</f>
      </c>
      <c r="G13" s="9"/>
      <c r="H13" s="5">
        <f>IFS(G13=1,"完了",AND(F13&lt;TODAY(),G13&lt;1),"遅延",AND(D13&lt;=TODAY(),G13&lt;1),"進行中",TRUE,"未着手")</f>
      </c>
      <c r="I13" s="3"/>
    </row>
    <row r="14">
      <c r="A14" s="3"/>
      <c r="B14" s="3"/>
      <c r="C14" s="3"/>
      <c r="D14" s="10"/>
      <c r="E14" s="3"/>
      <c r="F14" s="5">
        <f>IF(OR(D14="",E14="")," ",WORKDAY(D14,E14-1,Config!$B$4:$B$20))</f>
      </c>
      <c r="G14" s="9"/>
      <c r="H14" s="5">
        <f>IFS(G14=1,"完了",AND(F14&lt;TODAY(),G14&lt;1),"遅延",AND(D14&lt;=TODAY(),G14&lt;1),"進行中",TRUE,"未着手")</f>
      </c>
      <c r="I14" s="3"/>
    </row>
    <row r="15">
      <c r="A15" s="3"/>
      <c r="B15" s="3"/>
      <c r="C15" s="3"/>
      <c r="D15" s="10"/>
      <c r="E15" s="3"/>
      <c r="F15" s="5">
        <f>IF(OR(D15="",E15="")," ",WORKDAY(D15,E15-1,Config!$B$4:$B$20))</f>
      </c>
      <c r="G15" s="9"/>
      <c r="H15" s="5">
        <f>IFS(G15=1,"完了",AND(F15&lt;TODAY(),G15&lt;1),"遅延",AND(D15&lt;=TODAY(),G15&lt;1),"進行中",TRUE,"未着手")</f>
      </c>
      <c r="I15" s="3"/>
    </row>
    <row r="16">
      <c r="A16" s="3"/>
      <c r="B16" s="3"/>
      <c r="C16" s="3"/>
      <c r="D16" s="10"/>
      <c r="E16" s="3"/>
      <c r="F16" s="5">
        <f>IF(OR(D16="",E16="")," ",WORKDAY(D16,E16-1,Config!$B$4:$B$20))</f>
      </c>
      <c r="G16" s="9"/>
      <c r="H16" s="5">
        <f>IFS(G16=1,"完了",AND(F16&lt;TODAY(),G16&lt;1),"遅延",AND(D16&lt;=TODAY(),G16&lt;1),"進行中",TRUE,"未着手")</f>
      </c>
      <c r="I16" s="3"/>
    </row>
    <row r="17">
      <c r="A17" s="3"/>
      <c r="B17" s="3"/>
      <c r="C17" s="3"/>
      <c r="D17" s="10"/>
      <c r="E17" s="3"/>
      <c r="F17" s="5">
        <f>IF(OR(D17="",E17="")," ",WORKDAY(D17,E17-1,Config!$B$4:$B$20))</f>
      </c>
      <c r="G17" s="9"/>
      <c r="H17" s="5">
        <f>IFS(G17=1,"完了",AND(F17&lt;TODAY(),G17&lt;1),"遅延",AND(D17&lt;=TODAY(),G17&lt;1),"進行中",TRUE,"未着手")</f>
      </c>
      <c r="I17" s="3"/>
    </row>
    <row r="18">
      <c r="A18" s="3"/>
      <c r="B18" s="3"/>
      <c r="C18" s="3"/>
      <c r="D18" s="10"/>
      <c r="E18" s="3"/>
      <c r="F18" s="5">
        <f>IF(OR(D18="",E18="")," ",WORKDAY(D18,E18-1,Config!$B$4:$B$20))</f>
      </c>
      <c r="G18" s="9"/>
      <c r="H18" s="5">
        <f>IFS(G18=1,"完了",AND(F18&lt;TODAY(),G18&lt;1),"遅延",AND(D18&lt;=TODAY(),G18&lt;1),"進行中",TRUE,"未着手")</f>
      </c>
      <c r="I18" s="3"/>
    </row>
  </sheetData>
  <sheetProtection sheet="1" objects="1" formatCells="0" sort="0" autoFilter="0" password="80FB" insertRows="0"/>
  <conditionalFormatting sqref="K5:BC30">
    <cfRule type="expression" dxfId="0" priority="1">
      <formula>K$3=TODAY()</formula>
    </cfRule>
    <cfRule type="expression" dxfId="1" priority="2">
      <formula>AND($D5&lt;&gt;"",$E5&lt;&gt;"",K$3&gt;=$D5,K$3&lt;=$F5,$H5="完了")</formula>
    </cfRule>
    <cfRule type="expression" dxfId="2" priority="3">
      <formula>AND($D5&lt;&gt;"",$E5&lt;&gt;"",K$3&gt;=$D5,K$3&lt;=$F5,$H5="遅延")</formula>
    </cfRule>
    <cfRule type="expression" dxfId="3" priority="4">
      <formula>AND($D5&lt;&gt;"",$E5&lt;&gt;"",K$3&gt;=$D5,K$3&lt;=$F5,$H5&lt;&gt;"",$H5&lt;&gt;"完了",$H5&lt;&gt;"遅延")</formula>
    </cfRule>
  </conditionalFormatting>
  <conditionalFormatting sqref="H5:H30">
    <cfRule type="expression" dxfId="4" priority="5">
      <formula>$H5="未着手"</formula>
    </cfRule>
    <cfRule type="expression" dxfId="5" priority="6">
      <formula>$H5="進行中"</formula>
    </cfRule>
    <cfRule type="expression" dxfId="6" priority="7">
      <formula>$H5="遅延"</formula>
    </cfRule>
    <cfRule type="expression" dxfId="7" priority="8">
      <formula>$H5="完了"</formula>
    </cfRule>
  </conditionalFormatting>
  <conditionalFormatting sqref="A5:I30">
    <cfRule type="expression" dxfId="8" priority="9">
      <formula>$A5=1</formula>
    </cfRule>
  </conditionalFormatting>
  <dataValidations count="5">
    <dataValidation type="list" allowBlank="1" showDropDown="1" showInputMessage="1" showErrorMessage="1" promptTitle="担当者" prompt="Configシートで定義された担当者から選択してください" errorTitle="入力エラー" error="リストから選択してください" sqref="C5:C104">
      <formula1>Config!$D$4:$D$20</formula1>
    </dataValidation>
    <dataValidation type="date" allowBlank="1" showInputMessage="1" showErrorMessage="1" promptTitle="開始日" prompt="タスクの開始日を入力（例: 2024/05/01）" errorTitle="入力エラー" error="有効な日付を入力してください（例: 2024/05/01）" sqref="D5:D104">
      <formula1>1</formula1>
      <formula2>109574</formula2>
    </dataValidation>
    <dataValidation type="whole" operator="between" allowBlank="1" showInputMessage="1" showErrorMessage="1" promptTitle="工数（日）" prompt="1〜100の整数を入力してください" errorTitle="入力エラー" error="工数は1〜100の整数で入力してください" sqref="E5:E104">
      <formula1>1</formula1>
      <formula2>100</formula2>
    </dataValidation>
    <dataValidation type="decimal" operator="between" allowBlank="1" showInputMessage="1" showErrorMessage="1" promptTitle="進捗率" prompt="0〜1の値を入力（0.5 = 50%）" errorTitle="入力エラー" error="進捗率は0〜1の範囲で入力してください（例: 0.5 = 50%）" sqref="G5:G104">
      <formula1>0</formula1>
      <formula2>1</formula2>
    </dataValidation>
    <dataValidation type="list" allowBlank="1" showDropDown="1" sqref="H5:H104">
      <formula1>Config!$F$4:$F$20</formula1>
    </dataValidation>
  </dataValidation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Right" state="frozen"/>
      <selection activeCell="A1" sqref="A1"/>
    </sheetView>
  </sheetViews>
  <cols>
    <col min="1" max="1" width="12" customWidth="1"/>
    <col min="2" max="2" width="25" customWidth="1"/>
    <col min="3" max="3" width="20" customWidth="1"/>
    <col min="4" max="4" width="10" customWidth="1"/>
    <col min="5" max="5" width="10" customWidth="1"/>
    <col min="6" max="6" width="3" customWidth="1"/>
    <col min="7" max="7" width="12" customWidth="1"/>
    <col min="8" max="8" width="12" customWidth="1"/>
    <col min="9" max="9" width="20" customWidth="1"/>
    <col min="10" max="10" width="12" customWidth="1"/>
    <col min="11" max="11" width="12" customWidth="1"/>
    <col min="12" max="12" width="12" customWidth="1"/>
    <col min="13" max="13" width="10" customWidth="1"/>
    <col min="14" max="14" width="20" customWidth="1"/>
  </cols>
  <sheetData>
    <row r="1">
      <c r="A1" s="2" t="inlineStr">
        <is>
          <t>案件ID</t>
        </is>
      </c>
      <c r="B1" s="2" t="inlineStr">
        <is>
          <t>案件名</t>
        </is>
      </c>
      <c r="C1" s="2" t="inlineStr">
        <is>
          <t>メモ</t>
        </is>
      </c>
      <c r="D1" s="2" t="inlineStr">
        <is>
          <t>施策数</t>
        </is>
      </c>
      <c r="E1" s="2" t="inlineStr">
        <is>
          <t>平均進捗</t>
        </is>
      </c>
      <c r="G1" s="6" t="inlineStr">
        <is>
          <t>📋 案件ドリルダウン (M365版)</t>
        </is>
      </c>
      <c r="H1" s="3" t="inlineStr">
        <is>
          <t>CASE-001</t>
        </is>
      </c>
    </row>
    <row r="2">
      <c r="A2" s="3" t="inlineStr">
        <is>
          <t>CASE-001</t>
        </is>
      </c>
      <c r="B2" s="3" t="inlineStr">
        <is>
          <t>Elyza Works 導入推進</t>
        </is>
      </c>
      <c r="D2" s="5">
        <f>COUNTIF(Measure_Master!$B:$B,A2)</f>
      </c>
      <c r="E2" s="5">
        <f>IFERROR(AVERAGEIF(Measure_Master!$B:$B,A2,Measure_Master!$G:$G),0)</f>
      </c>
      <c r="G2" s="2" t="inlineStr">
        <is>
          <t>施策ID</t>
        </is>
      </c>
      <c r="H2" s="2" t="inlineStr">
        <is>
          <t>親案件ID</t>
        </is>
      </c>
      <c r="I2" s="2" t="inlineStr">
        <is>
          <t>施策名</t>
        </is>
      </c>
      <c r="J2" s="2" t="inlineStr">
        <is>
          <t>開始日</t>
        </is>
      </c>
      <c r="K2" s="2" t="inlineStr">
        <is>
          <t>WBSリンク</t>
        </is>
      </c>
      <c r="L2" s="2" t="inlineStr">
        <is>
          <t>シート名</t>
        </is>
      </c>
      <c r="M2" s="2" t="inlineStr">
        <is>
          <t>実進捗</t>
        </is>
      </c>
    </row>
    <row r="3">
      <c r="G3" s="5">
        <f>IF($H$1="","← 案件IDを選択",IFERROR(FILTER(Measure_Master!$A$2:$H$104,Measure_Master!$B$2:$B$104=$H$1,"該当なし"),""))</f>
      </c>
    </row>
    <row r="4">
      <c r="G4" s="8" t="inlineStr">
        <is>
          <t>💡 H1で案件IDを選択すると施策一覧がスピル表示されます</t>
        </is>
      </c>
    </row>
  </sheetData>
  <sheetProtection sheet="1" objects="1" formatCells="0" sort="0" autoFilter="0" password="80FB" insertRows="1"/>
  <dataValidations count="1">
    <dataValidation type="list" allowBlank="1" showDropDown="1" showErrorMessage="1" showInputMessage="1" errorStyle="stop" errorTitle="入力エラー" error="リストから選択してください" promptTitle="案件IDの選択" prompt="プルダウンから案件IDを選択してください" sqref="H1">
      <formula1>CaseIds</formula1>
    </dataValidation>
  </dataValidation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Right" state="frozen"/>
      <selection activeCell="A1" sqref="A1"/>
    </sheetView>
  </sheetViews>
  <cols>
    <col min="1" max="1" width="12" customWidth="1"/>
    <col min="2" max="2" width="12" customWidth="1"/>
    <col min="3" max="3" width="25" customWidth="1"/>
    <col min="4" max="4" width="12" customWidth="1"/>
    <col min="5" max="5" width="12" customWidth="1"/>
    <col min="6" max="6" width="12" customWidth="1"/>
    <col min="7" max="7" width="10" customWidth="1"/>
    <col min="8" max="8" width="20" customWidth="1"/>
  </cols>
  <sheetData>
    <row r="1">
      <c r="A1" s="2" t="inlineStr">
        <is>
          <t>施策ID</t>
        </is>
      </c>
      <c r="B1" s="2" t="inlineStr">
        <is>
          <t>親案件ID</t>
        </is>
      </c>
      <c r="C1" s="2" t="inlineStr">
        <is>
          <t>施策名</t>
        </is>
      </c>
      <c r="D1" s="2" t="inlineStr">
        <is>
          <t>開始日</t>
        </is>
      </c>
      <c r="E1" s="2" t="inlineStr">
        <is>
          <t>WBSリンク</t>
        </is>
      </c>
      <c r="F1" s="2" t="inlineStr">
        <is>
          <t>WBSシート名</t>
        </is>
      </c>
      <c r="G1" s="2" t="inlineStr">
        <is>
          <t>実進捗</t>
        </is>
      </c>
      <c r="H1" s="2" t="inlineStr">
        <is>
          <t>備考</t>
        </is>
      </c>
    </row>
    <row r="2">
      <c r="A2" s="3" t="inlineStr">
        <is>
          <t>ME-001</t>
        </is>
      </c>
      <c r="B2" s="3" t="inlineStr">
        <is>
          <t>CASE-001</t>
        </is>
      </c>
      <c r="C2" s="3" t="inlineStr">
        <is>
          <t>Phase0 基盤再構築</t>
        </is>
      </c>
      <c r="D2" s="3" t="inlineStr">
        <is>
          <t>2025-12-15</t>
        </is>
      </c>
      <c r="E2" s="5">
        <f>HYPERLINK("#'" &amp; F2 &amp; "'!A1", "WBSを開く")</f>
      </c>
      <c r="F2" s="3" t="inlineStr">
        <is>
          <t>PRJ_001</t>
        </is>
      </c>
      <c r="G2" s="5">
        <f>IF(F2="","",IFERROR(INDIRECT("'" &amp; F2 &amp; "'!J2"),"未リンク"))</f>
      </c>
    </row>
    <row r="3">
      <c r="A3" s="3" t="inlineStr">
        <is>
          <t>ME-002</t>
        </is>
      </c>
      <c r="B3" s="3" t="inlineStr">
        <is>
          <t>CASE-001</t>
        </is>
      </c>
      <c r="C3" s="3" t="inlineStr">
        <is>
          <t>Phase1 集中導入</t>
        </is>
      </c>
      <c r="D3" s="3" t="inlineStr">
        <is>
          <t>2026-01-06</t>
        </is>
      </c>
      <c r="E3" s="5">
        <f>HYPERLINK("#'" &amp; F3 &amp; "'!A1", "WBSを開く")</f>
      </c>
      <c r="F3" s="3" t="inlineStr">
        <is>
          <t>PRJ_002</t>
        </is>
      </c>
      <c r="G3" s="5">
        <f>IF(F3="","",IFERROR(INDIRECT("'" &amp; F3 &amp; "'!J2"),"未リンク"))</f>
      </c>
    </row>
  </sheetData>
  <sheetProtection sheet="1" objects="1" formatCells="0" sort="0" autoFilter="0" password="80FB" insertRows="1"/>
  <conditionalFormatting sqref="G2:G104">
    <cfRule type="containsText" dxfId="9" priority="1" operator="containsText" text="未リンク">
      <formula>NOT(ISERROR(SEARCH("未リンク",G2)))</formula>
    </cfRule>
  </conditionalFormatting>
  <conditionalFormatting sqref="B2:B104">
    <cfRule type="expression" dxfId="10" priority="2">
      <formula>AND(B2&lt;&gt;"",ISNA(MATCH(B2,CaseIds,0)))</formula>
    </cfRule>
  </conditionalFormatting>
  <dataValidations count="1">
    <dataValidation type="list" allowBlank="0" showDropDown="1" showErrorMessage="1" showInputMessage="1" errorStyle="stop" errorTitle="入力エラー" error="リスト外の値は入力できません" promptTitle="案件IDの選択" prompt="プルダウンから案件IDを選択してください" sqref="B2:B104">
      <formula1>CaseIds</formula1>
    </dataValidation>
  </dataValidations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4" topLeftCell="A5" activePane="bottomRight" state="frozen"/>
      <selection activeCell="A1" sqref="A1"/>
    </sheetView>
  </sheetViews>
  <cols>
    <col min="1" max="1" width="12" customWidth="1"/>
    <col min="2" max="2" width="25" customWidth="1"/>
    <col min="3" max="3" width="3" customWidth="1"/>
    <col min="4" max="4" width="25" customWidth="1"/>
    <col min="5" max="5" width="3" customWidth="1"/>
    <col min="6" max="6" width="25" customWidth="1"/>
  </cols>
  <sheetData>
    <row r="1">
      <c r="A1" s="4" t="inlineStr">
        <is>
          <t>📋 カンバンビュー (M365版)</t>
        </is>
      </c>
    </row>
    <row r="2">
      <c r="A2" s="6" t="inlineStr">
        <is>
          <t>施策を選択:</t>
        </is>
      </c>
      <c r="B2" s="3" t="inlineStr">
        <is>
          <t>PRJ_001</t>
        </is>
      </c>
    </row>
    <row r="3">
      <c r="A3" s="8" t="inlineStr">
        <is>
          <t>💡 B2で WBS シート選択 → タスクが「名前/担当/期限」形式でスピル表示。</t>
        </is>
      </c>
    </row>
    <row r="4">
      <c r="B4" s="2" t="inlineStr">
        <is>
          <t>📥 To Do</t>
        </is>
      </c>
      <c r="D4" s="2" t="inlineStr">
        <is>
          <t>🔄 Doing</t>
        </is>
      </c>
      <c r="F4" s="2" t="inlineStr">
        <is>
          <t>✅ Done</t>
        </is>
      </c>
      <c r="H4" s="2" t="inlineStr">
        <is>
          <t>⚠️ 遅延</t>
        </is>
      </c>
    </row>
    <row r="5">
      <c r="B5" s="5">
        <f>IFERROR(LET(_sheet,$B$2,_tasks,INDIRECT("'"&amp;_sheet&amp;"'!B5:B104"),_owners,INDIRECT("'"&amp;_sheet&amp;"'!C5:C104"),_ends,INDIRECT("'"&amp;_sheet&amp;"'!F5:F104"),_progress,INDIRECT("'"&amp;_sheet&amp;"'!G5:G104"),_status,INDIRECT("'"&amp;_sheet&amp;"'!H5:H104"),_card,_tasks&amp;CHAR(10)&amp;"👤 "&amp;_owners&amp;CHAR(10)&amp;"📅 "&amp;TEXT(_ends,"m/d")&amp;" | 📊 "&amp;TEXT(_progress,"0%"),_filtered,FILTER(_card,(_status="未着手")*(_tasks&lt;&gt;""),""),_filtered),"")</f>
      </c>
      <c r="D5" s="5">
        <f>IFERROR(LET(_sheet,$B$2,_tasks,INDIRECT("'"&amp;_sheet&amp;"'!B5:B104"),_owners,INDIRECT("'"&amp;_sheet&amp;"'!C5:C104"),_ends,INDIRECT("'"&amp;_sheet&amp;"'!F5:F104"),_progress,INDIRECT("'"&amp;_sheet&amp;"'!G5:G104"),_status,INDIRECT("'"&amp;_sheet&amp;"'!H5:H104"),_card,_tasks&amp;CHAR(10)&amp;"👤 "&amp;_owners&amp;CHAR(10)&amp;"📅 "&amp;TEXT(_ends,"m/d")&amp;" | 📊 "&amp;TEXT(_progress,"0%"),_filtered,FILTER(_card,(_status="進行中")*(_tasks&lt;&gt;""),""),_filtered),"")</f>
      </c>
      <c r="F5" s="5">
        <f>IFERROR(LET(_sheet,$B$2,_tasks,INDIRECT("'"&amp;_sheet&amp;"'!B5:B104"),_owners,INDIRECT("'"&amp;_sheet&amp;"'!C5:C104"),_ends,INDIRECT("'"&amp;_sheet&amp;"'!F5:F104"),_progress,INDIRECT("'"&amp;_sheet&amp;"'!G5:G104"),_status,INDIRECT("'"&amp;_sheet&amp;"'!H5:H104"),_card,_tasks&amp;CHAR(10)&amp;"👤 "&amp;_owners&amp;CHAR(10)&amp;"📅 "&amp;TEXT(_ends,"m/d")&amp;" | 📊 "&amp;TEXT(_progress,"0%"),_filtered,FILTER(_card,(_status="完了")*(_tasks&lt;&gt;""),""),_filtered),"")</f>
      </c>
      <c r="H5" s="5">
        <f>IFERROR(LET(_sheet,$B$2,_tasks,INDIRECT("'"&amp;_sheet&amp;"'!B5:B104"),_owners,INDIRECT("'"&amp;_sheet&amp;"'!C5:C104"),_ends,INDIRECT("'"&amp;_sheet&amp;"'!F5:F104"),_progress,INDIRECT("'"&amp;_sheet&amp;"'!G5:G104"),_status,INDIRECT("'"&amp;_sheet&amp;"'!H5:H104"),_card,_tasks&amp;CHAR(10)&amp;"👤 "&amp;_owners&amp;CHAR(10)&amp;"📅 "&amp;TEXT(_ends,"m/d")&amp;" | 📊 "&amp;TEXT(_progress,"0%"),_filtered,FILTER(_card,(_status="遅延")*(_tasks&lt;&gt;""),""),_filtered),"")</f>
      </c>
    </row>
  </sheetData>
  <sheetProtection sheet="1" objects="1" formatCells="0" sort="0" autoFilter="0" password="80FB" insertRows="1"/>
  <dataValidations count="1">
    <dataValidation type="list" allowBlank="1" showDropDown="1" showErrorMessage="1" showInputMessage="1" errorStyle="stop" errorTitle="入力エラー" error="リスト外の値は入力できません" promptTitle="WBS シート名の選択" prompt="プルダウンから施策の WBS シート名を選択してください" sqref="B2">
      <formula1>Measure_Master!$F$2:$F$20</formula1>
    </dataValidation>
  </dataValidations>
</worksheet>
</file>